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ethosbusinesssolutionscom.sharepoint.com/sites/EthosBusinessSolutions/Shared Documents/General/Ethos Document Templates/SOW Estimator/"/>
    </mc:Choice>
  </mc:AlternateContent>
  <xr:revisionPtr revIDLastSave="63" documentId="13_ncr:1_{FFB05CF9-2B91-6146-BDD7-BD647DA57A79}" xr6:coauthVersionLast="47" xr6:coauthVersionMax="47" xr10:uidLastSave="{93A58941-A31C-42A3-B91E-F9A2B7F86522}"/>
  <bookViews>
    <workbookView xWindow="28680" yWindow="-120" windowWidth="29040" windowHeight="15720" firstSheet="3" activeTab="1" xr2:uid="{C0CE7C8A-90B9-B94C-B37E-F58266D44713}"/>
  </bookViews>
  <sheets>
    <sheet name="Instructions" sheetId="7" r:id="rId1"/>
    <sheet name="Detailed Summary" sheetId="5" r:id="rId2"/>
    <sheet name="SOW Summary" sheetId="8" r:id="rId3"/>
    <sheet name="Functional" sheetId="1" r:id="rId4"/>
    <sheet name="Technical NetSuite" sheetId="2" r:id="rId5"/>
    <sheet name="Integration" sheetId="3" r:id="rId6"/>
    <sheet name="List Options" sheetId="4"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1" l="1"/>
  <c r="I6" i="1"/>
  <c r="I7" i="1"/>
  <c r="I8" i="1"/>
  <c r="I9" i="1"/>
  <c r="I10" i="1"/>
  <c r="I3" i="1"/>
  <c r="I4" i="1"/>
  <c r="B11" i="8"/>
  <c r="B29" i="5"/>
  <c r="A3" i="7"/>
  <c r="A4" i="7" s="1"/>
  <c r="A5" i="7" s="1"/>
  <c r="A6" i="7" s="1"/>
  <c r="A7" i="7" s="1"/>
  <c r="A8" i="7" s="1"/>
  <c r="A9" i="7" s="1"/>
  <c r="A10" i="7" s="1"/>
  <c r="C6" i="8"/>
  <c r="B26" i="5"/>
  <c r="B12" i="5"/>
  <c r="L6" i="3"/>
  <c r="E9" i="5" s="1"/>
  <c r="F11" i="1"/>
  <c r="C9" i="5" s="1"/>
  <c r="N6" i="3"/>
  <c r="E11" i="5" s="1"/>
  <c r="M6" i="3"/>
  <c r="E10" i="5" s="1"/>
  <c r="K6" i="3"/>
  <c r="E8" i="5" s="1"/>
  <c r="J6" i="3"/>
  <c r="E7" i="5" s="1"/>
  <c r="I6" i="3"/>
  <c r="E5" i="5" s="1"/>
  <c r="O5" i="3"/>
  <c r="O4" i="3"/>
  <c r="O3" i="3"/>
  <c r="O2" i="3"/>
  <c r="I6" i="2"/>
  <c r="D11" i="5" s="1"/>
  <c r="G6" i="2"/>
  <c r="D9" i="5" s="1"/>
  <c r="H6" i="2"/>
  <c r="D10" i="5" s="1"/>
  <c r="F6" i="2"/>
  <c r="D8" i="5" s="1"/>
  <c r="E6" i="2"/>
  <c r="D7" i="5" s="1"/>
  <c r="D6" i="2"/>
  <c r="D5" i="5" s="1"/>
  <c r="J5" i="2"/>
  <c r="J4" i="2"/>
  <c r="J3" i="2"/>
  <c r="J2" i="2"/>
  <c r="I2" i="1"/>
  <c r="D11" i="1"/>
  <c r="C6" i="5" s="1"/>
  <c r="F6" i="5" s="1"/>
  <c r="C5" i="8" s="1"/>
  <c r="E11" i="1"/>
  <c r="C8" i="5" s="1"/>
  <c r="G11" i="1"/>
  <c r="C10" i="5" s="1"/>
  <c r="H11" i="1"/>
  <c r="C11" i="5" s="1"/>
  <c r="C11" i="1"/>
  <c r="C5" i="5" s="1"/>
  <c r="B32" i="5" l="1"/>
  <c r="B14" i="5" s="1"/>
  <c r="B13" i="8" s="1"/>
  <c r="F11" i="5"/>
  <c r="C10" i="8" s="1"/>
  <c r="F9" i="5"/>
  <c r="C8" i="8" s="1"/>
  <c r="F10" i="5"/>
  <c r="C9" i="8" s="1"/>
  <c r="F7" i="5"/>
  <c r="F5" i="5"/>
  <c r="C4" i="8" s="1"/>
  <c r="F8" i="5"/>
  <c r="C7" i="8" s="1"/>
  <c r="C12" i="5"/>
  <c r="C13" i="5" s="1"/>
  <c r="E12" i="5"/>
  <c r="E13" i="5" s="1"/>
  <c r="E14" i="5" s="1"/>
  <c r="D12" i="5"/>
  <c r="D13" i="5" s="1"/>
  <c r="D14" i="5" s="1"/>
  <c r="O6" i="3"/>
  <c r="J6" i="2"/>
  <c r="I11" i="1"/>
  <c r="C14" i="5" l="1"/>
  <c r="F13" i="5"/>
  <c r="F12" i="5"/>
  <c r="C11" i="8" s="1"/>
  <c r="C12" i="8" l="1"/>
  <c r="F14" i="5"/>
  <c r="C13"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CJ Carter</author>
  </authors>
  <commentList>
    <comment ref="B17" authorId="0" shapeId="0" xr:uid="{89323849-A12F-C049-AE08-94479FE6731F}">
      <text>
        <r>
          <rPr>
            <sz val="10"/>
            <color rgb="FF000000"/>
            <rFont val="Aptos Narrow"/>
          </rPr>
          <t xml:space="preserve">All projects should have at least 10% of oversight. Oversight includes status meetings, budget management, and Ethos internal quality control. More difficult clients or clients that require extensive follow-up, need to have PO% at least 15%.
</t>
        </r>
      </text>
    </comment>
    <comment ref="B20" authorId="0" shapeId="0" xr:uid="{1DACA892-19A1-BE40-82F1-FF4F28F2D750}">
      <text>
        <r>
          <rPr>
            <sz val="10"/>
            <color rgb="FF000000"/>
            <rFont val="Tahoma"/>
            <family val="2"/>
          </rPr>
          <t>Input hourly rate for project.</t>
        </r>
      </text>
    </comment>
    <comment ref="B23" authorId="0" shapeId="0" xr:uid="{FF65E415-50EA-054F-A687-68E1F07F66F4}">
      <text>
        <r>
          <rPr>
            <sz val="10"/>
            <color rgb="FF000000"/>
            <rFont val="Aptos Narrow"/>
          </rPr>
          <t xml:space="preserve">If a discount has been applied to this client's standard hourly rate or if this specific project is being discounted, enter the discount here. For example, if the client receives a 15% discount on their standard hourly rate, enter 15 here.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CJ Carter</author>
  </authors>
  <commentList>
    <comment ref="B1" authorId="0" shapeId="0" xr:uid="{1449AB64-5CDB-7740-8998-29C095A5F424}">
      <text>
        <r>
          <rPr>
            <sz val="10"/>
            <color rgb="FF000000"/>
            <rFont val="Tahoma"/>
            <family val="2"/>
          </rPr>
          <t xml:space="preserve">Description needs to be short and concise. This is a title, not a solution explanation.
</t>
        </r>
      </text>
    </comment>
    <comment ref="C1" authorId="0" shapeId="0" xr:uid="{095A35B0-68F8-E047-BE8C-42AE024522C7}">
      <text>
        <r>
          <rPr>
            <sz val="10"/>
            <color rgb="FF000000"/>
            <rFont val="Tahoma"/>
            <family val="2"/>
          </rPr>
          <t>Complex functional tasks are the only functional tasks that require formal design documents. Otherwise, input the hours required to finalize requirements so that configuration can begin.</t>
        </r>
      </text>
    </comment>
    <comment ref="D1" authorId="0" shapeId="0" xr:uid="{B50A0889-DA27-474E-830B-BB78EEBC7F37}">
      <text>
        <r>
          <rPr>
            <sz val="10"/>
            <color rgb="FF000000"/>
            <rFont val="Tahoma"/>
            <family val="2"/>
          </rPr>
          <t>Input the hours to configure the task and internally validate the configuration prior to transitioning to client UAT.</t>
        </r>
      </text>
    </comment>
    <comment ref="E1" authorId="0" shapeId="0" xr:uid="{F566A580-53A3-AA48-9F75-6842D363D629}">
      <text>
        <r>
          <rPr>
            <sz val="10"/>
            <color rgb="FF000000"/>
            <rFont val="Tahoma"/>
            <family val="2"/>
          </rPr>
          <t>Input hours required to demonstrate feature. If a training aid / test script is required, input hours required to document aid.</t>
        </r>
      </text>
    </comment>
    <comment ref="G1" authorId="0" shapeId="0" xr:uid="{64072502-35E9-9D40-AE08-E86B922BE7D1}">
      <text>
        <r>
          <rPr>
            <sz val="10"/>
            <color rgb="FF000000"/>
            <rFont val="Tahoma"/>
            <family val="2"/>
          </rPr>
          <t>Input hours required to migrate solution to Production and any post production migration regression testing. Any data migration should be included in this assessment.</t>
        </r>
      </text>
    </comment>
    <comment ref="H1" authorId="0" shapeId="0" xr:uid="{36A799C2-E130-294B-8CF6-CB8297379B4D}">
      <text>
        <r>
          <rPr>
            <sz val="10"/>
            <color rgb="FF000000"/>
            <rFont val="Tahoma"/>
            <family val="2"/>
          </rPr>
          <t>Input hours required to support the client once the configuration is migrated to production. Estimate for one to two weeks. Any support duration beyond two weeks needs to be escalated to Ethos senior leadership for discussion.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CJ Carter</author>
  </authors>
  <commentList>
    <comment ref="D1" authorId="0" shapeId="0" xr:uid="{196FD464-FB3D-1945-A4D5-FAF89FAADF95}">
      <text>
        <r>
          <rPr>
            <sz val="10"/>
            <color rgb="FF000000"/>
            <rFont val="Tahoma"/>
            <family val="2"/>
          </rPr>
          <t>Input hours required to design the NetSuite script. Estimate should include functional/technical design document that will be passed to development team.</t>
        </r>
      </text>
    </comment>
    <comment ref="E1" authorId="0" shapeId="0" xr:uid="{5C310FA8-928C-354B-A0EE-17DF30E97E3B}">
      <text>
        <r>
          <rPr>
            <b/>
            <sz val="10"/>
            <color rgb="FF000000"/>
            <rFont val="Tahoma"/>
            <family val="2"/>
          </rPr>
          <t>CJ Carter:</t>
        </r>
        <r>
          <rPr>
            <sz val="10"/>
            <color rgb="FF000000"/>
            <rFont val="Tahoma"/>
            <family val="2"/>
          </rPr>
          <t xml:space="preserve">
</t>
        </r>
        <r>
          <rPr>
            <sz val="10"/>
            <color rgb="FF000000"/>
            <rFont val="Tahoma"/>
            <family val="2"/>
          </rPr>
          <t>Input hours required to internally develop the solution.</t>
        </r>
      </text>
    </comment>
    <comment ref="F1" authorId="0" shapeId="0" xr:uid="{96B87613-6516-AE45-89A9-5B48D695D9DB}">
      <text>
        <r>
          <rPr>
            <sz val="10"/>
            <color rgb="FF000000"/>
            <rFont val="Tahoma"/>
            <family val="2"/>
          </rPr>
          <t>Input hours required to internally validate the solution, external demonstration, and support client through testing and validation.</t>
        </r>
      </text>
    </comment>
    <comment ref="G1" authorId="0" shapeId="0" xr:uid="{10E0EC59-26BE-0F48-8FB7-D628E151E275}">
      <text>
        <r>
          <rPr>
            <b/>
            <sz val="10"/>
            <color rgb="FF000000"/>
            <rFont val="Tahoma"/>
            <family val="2"/>
          </rPr>
          <t>CJ Carter:</t>
        </r>
        <r>
          <rPr>
            <sz val="10"/>
            <color rgb="FF000000"/>
            <rFont val="Tahoma"/>
            <family val="2"/>
          </rPr>
          <t xml:space="preserve">
</t>
        </r>
        <r>
          <rPr>
            <sz val="10"/>
            <color rgb="FF000000"/>
            <rFont val="Aptos Narrow"/>
            <scheme val="minor"/>
          </rPr>
          <t>Training is only required if the client requires a technical review of the solution. Typically this will be 0 unless the client explicitly requests.</t>
        </r>
      </text>
    </comment>
    <comment ref="H1" authorId="0" shapeId="0" xr:uid="{7C62CEB4-5874-C346-A056-17741E5DE6BD}">
      <text>
        <r>
          <rPr>
            <b/>
            <sz val="10"/>
            <color rgb="FF000000"/>
            <rFont val="Tahoma"/>
            <family val="2"/>
          </rPr>
          <t>CJ Carter:</t>
        </r>
        <r>
          <rPr>
            <sz val="10"/>
            <color rgb="FF000000"/>
            <rFont val="Tahoma"/>
            <family val="2"/>
          </rPr>
          <t xml:space="preserve">
</t>
        </r>
        <r>
          <rPr>
            <sz val="10"/>
            <color rgb="FF000000"/>
            <rFont val="Tahoma"/>
            <family val="2"/>
          </rPr>
          <t>Input hours required to migrate the solution to production and hours required to perform regression testing in production.</t>
        </r>
      </text>
    </comment>
    <comment ref="I1" authorId="0" shapeId="0" xr:uid="{91E551AC-6CAF-804E-AFE3-8FF1D7A90079}">
      <text>
        <r>
          <rPr>
            <sz val="10"/>
            <color rgb="FF000000"/>
            <rFont val="Aptos Narrow"/>
            <scheme val="minor"/>
          </rPr>
          <t>Input hours required to support the client once the script is migrated to production. Estimate for one to two weeks. Any support duration beyond two weeks needs to be escalated to Ethos senior leadership for discussion.</t>
        </r>
        <r>
          <rPr>
            <sz val="10"/>
            <color rgb="FF000000"/>
            <rFont val="Aptos Narrow"/>
            <scheme val="minor"/>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CJ Carter</author>
  </authors>
  <commentList>
    <comment ref="I1" authorId="0" shapeId="0" xr:uid="{329639AD-D526-A74E-B818-FE811018D91C}">
      <text>
        <r>
          <rPr>
            <b/>
            <sz val="10"/>
            <color rgb="FF000000"/>
            <rFont val="Tahoma"/>
            <family val="2"/>
          </rPr>
          <t>CJ Carter:</t>
        </r>
        <r>
          <rPr>
            <sz val="10"/>
            <color rgb="FF000000"/>
            <rFont val="Tahoma"/>
            <family val="2"/>
          </rPr>
          <t xml:space="preserve">
</t>
        </r>
        <r>
          <rPr>
            <sz val="10"/>
            <color rgb="FF000000"/>
            <rFont val="Tahoma"/>
            <family val="2"/>
          </rPr>
          <t>This includes functional and technical design document. If custom RESTlet is being developed, the hours will typically be higher due to increased design, development, and testing. If custom RESTlet is used, detailed field mapping needs to be completed in excel which will be part of design deliverable.</t>
        </r>
      </text>
    </comment>
    <comment ref="J1" authorId="0" shapeId="0" xr:uid="{04E28760-BB0B-844C-9CD3-3ACBD59140FB}">
      <text>
        <r>
          <rPr>
            <b/>
            <sz val="10"/>
            <color rgb="FF000000"/>
            <rFont val="Tahoma"/>
            <family val="2"/>
          </rPr>
          <t>CJ Carter:</t>
        </r>
        <r>
          <rPr>
            <sz val="10"/>
            <color rgb="FF000000"/>
            <rFont val="Tahoma"/>
            <family val="2"/>
          </rPr>
          <t xml:space="preserve">
</t>
        </r>
        <r>
          <rPr>
            <sz val="10"/>
            <color rgb="FF000000"/>
            <rFont val="Tahoma"/>
            <family val="2"/>
          </rPr>
          <t>Input development hours required to complete unit testing for the respective integration flow.</t>
        </r>
      </text>
    </comment>
    <comment ref="K1" authorId="0" shapeId="0" xr:uid="{879B7BA9-E696-AE40-8B01-418F6F5D252E}">
      <text>
        <r>
          <rPr>
            <sz val="10"/>
            <color rgb="FF000000"/>
            <rFont val="Tahoma"/>
            <family val="2"/>
          </rPr>
          <t>Input hours required to demonstrate integration to client and support the client during their internal validation.</t>
        </r>
      </text>
    </comment>
    <comment ref="L1" authorId="0" shapeId="0" xr:uid="{9940EAF0-2B9D-2A49-9F52-0319AB221AC2}">
      <text>
        <r>
          <rPr>
            <b/>
            <sz val="10"/>
            <color rgb="FF000000"/>
            <rFont val="Tahoma"/>
            <family val="2"/>
          </rPr>
          <t>CJ Carter:</t>
        </r>
        <r>
          <rPr>
            <sz val="10"/>
            <color rgb="FF000000"/>
            <rFont val="Tahoma"/>
            <family val="2"/>
          </rPr>
          <t xml:space="preserve">
</t>
        </r>
        <r>
          <rPr>
            <sz val="10"/>
            <color rgb="FF000000"/>
            <rFont val="Aptos Narrow"/>
          </rPr>
          <t>Training is only required if the client requires a technical review of the solution. Typically this will be 0 unless the client explicitly requests.</t>
        </r>
      </text>
    </comment>
    <comment ref="M1" authorId="0" shapeId="0" xr:uid="{A04CF71F-39E3-EF47-AD92-454DAB8D4531}">
      <text>
        <r>
          <rPr>
            <b/>
            <sz val="10"/>
            <color rgb="FF000000"/>
            <rFont val="Tahoma"/>
            <family val="2"/>
          </rPr>
          <t>CJ Carter:</t>
        </r>
        <r>
          <rPr>
            <sz val="10"/>
            <color rgb="FF000000"/>
            <rFont val="Tahoma"/>
            <family val="2"/>
          </rPr>
          <t xml:space="preserve">
</t>
        </r>
        <r>
          <rPr>
            <sz val="10"/>
            <color rgb="FF000000"/>
            <rFont val="Tahoma"/>
            <family val="2"/>
          </rPr>
          <t>Input hours required to migrate integration to production and perform regression testing in production.</t>
        </r>
      </text>
    </comment>
    <comment ref="N1" authorId="0" shapeId="0" xr:uid="{546FFE7D-B595-0841-ABC9-4EB0FEFF6C9B}">
      <text>
        <r>
          <rPr>
            <sz val="10"/>
            <color rgb="FF000000"/>
            <rFont val="Tahoma"/>
            <family val="2"/>
          </rPr>
          <t xml:space="preserve">Input hours required to support the integration in production for 1-2 weeks. If more than 2 weeks is required to support the integration, this needs to escalated to Ethos leadership for discussion.
</t>
        </r>
      </text>
    </comment>
  </commentList>
</comments>
</file>

<file path=xl/sharedStrings.xml><?xml version="1.0" encoding="utf-8"?>
<sst xmlns="http://schemas.openxmlformats.org/spreadsheetml/2006/main" count="156" uniqueCount="87">
  <si>
    <t>Step</t>
  </si>
  <si>
    <t>Instructions</t>
  </si>
  <si>
    <t>Create a copy of this sheet and name the sheet as "SOW Name" - "Estimation". For example, if the SOW name is "Client Payment Automation" the name of this sheet will be "Client Payment Automation - Estimation". The copy of this sheet needs to be saved in the project folder that was created for this estimator.</t>
  </si>
  <si>
    <t>Complete Functional tab.</t>
  </si>
  <si>
    <t>Complete Technical NetSuite tab.</t>
  </si>
  <si>
    <t>Complete Integration tab.</t>
  </si>
  <si>
    <t>Go to Summary tab.</t>
  </si>
  <si>
    <t>Input Hourly Rate</t>
  </si>
  <si>
    <t>Input PM %</t>
  </si>
  <si>
    <r>
      <t xml:space="preserve">Copy the estimation table from the SOW Summary tab and paste as </t>
    </r>
    <r>
      <rPr>
        <b/>
        <u/>
        <sz val="12"/>
        <color theme="1"/>
        <rFont val="Arial"/>
        <family val="2"/>
      </rPr>
      <t>image</t>
    </r>
    <r>
      <rPr>
        <sz val="12"/>
        <color theme="1"/>
        <rFont val="Arial"/>
        <family val="2"/>
      </rPr>
      <t xml:space="preserve"> in the SOW.</t>
    </r>
  </si>
  <si>
    <t>Send estimation sheet and SOW to Ethos Director for approval.</t>
  </si>
  <si>
    <t>Estimated Hours and Fees</t>
  </si>
  <si>
    <t>Phase</t>
  </si>
  <si>
    <t>Area</t>
  </si>
  <si>
    <t>Total</t>
  </si>
  <si>
    <t>Functional</t>
  </si>
  <si>
    <t>Technical</t>
  </si>
  <si>
    <t>Integration</t>
  </si>
  <si>
    <t>Design</t>
  </si>
  <si>
    <t>Configuration</t>
  </si>
  <si>
    <t>-</t>
  </si>
  <si>
    <t>Development</t>
  </si>
  <si>
    <t>UAT</t>
  </si>
  <si>
    <t>Training</t>
  </si>
  <si>
    <t>Cutover</t>
  </si>
  <si>
    <t>Support</t>
  </si>
  <si>
    <t>Hourly Totals</t>
  </si>
  <si>
    <t>Project Oversight %</t>
  </si>
  <si>
    <t>Standard Hourly Rate</t>
  </si>
  <si>
    <t>Discount</t>
  </si>
  <si>
    <t>Discounted Hourly Rate</t>
  </si>
  <si>
    <t>Standard Total Text</t>
  </si>
  <si>
    <t>Discounted Total Text</t>
  </si>
  <si>
    <t>ID</t>
  </si>
  <si>
    <t>Task</t>
  </si>
  <si>
    <t>EBS.001</t>
  </si>
  <si>
    <t>Bundle Install</t>
  </si>
  <si>
    <t>EBS.002</t>
  </si>
  <si>
    <t>WMS System Rules</t>
  </si>
  <si>
    <t>EBS.003</t>
  </si>
  <si>
    <t>SCM Mobile Configuration</t>
  </si>
  <si>
    <t>EBS.004</t>
  </si>
  <si>
    <t>Sales Order Picking Process</t>
  </si>
  <si>
    <t>EBS.005</t>
  </si>
  <si>
    <t>EBS.006</t>
  </si>
  <si>
    <t>EBS.007</t>
  </si>
  <si>
    <t>EBS.008</t>
  </si>
  <si>
    <t>EBS.009</t>
  </si>
  <si>
    <t>Type</t>
  </si>
  <si>
    <t>Placeholder 1</t>
  </si>
  <si>
    <t>Map/Reduce</t>
  </si>
  <si>
    <t>Placeholder 2</t>
  </si>
  <si>
    <t>Client</t>
  </si>
  <si>
    <t>Placeholder 3</t>
  </si>
  <si>
    <t>Workflow Action</t>
  </si>
  <si>
    <t>Placeholder 4</t>
  </si>
  <si>
    <t>Suitelet</t>
  </si>
  <si>
    <t>Flow</t>
  </si>
  <si>
    <t>Method</t>
  </si>
  <si>
    <t>Frequency</t>
  </si>
  <si>
    <t>Source System</t>
  </si>
  <si>
    <t>Source Record</t>
  </si>
  <si>
    <t>Target System</t>
  </si>
  <si>
    <t>Target Record</t>
  </si>
  <si>
    <t>iPaaS - Prebuilt</t>
  </si>
  <si>
    <t>Scheduled</t>
  </si>
  <si>
    <t>Salesforce</t>
  </si>
  <si>
    <t>Prospect</t>
  </si>
  <si>
    <t>NetSuite</t>
  </si>
  <si>
    <t>Customer</t>
  </si>
  <si>
    <t>REST API</t>
  </si>
  <si>
    <t>Real-time</t>
  </si>
  <si>
    <t>Order</t>
  </si>
  <si>
    <t>Sales Order</t>
  </si>
  <si>
    <t>iPaaS - Custom</t>
  </si>
  <si>
    <t>Shipment</t>
  </si>
  <si>
    <t>Item Fulfillment</t>
  </si>
  <si>
    <t>3rd Party Connector</t>
  </si>
  <si>
    <t>Payment</t>
  </si>
  <si>
    <t>Customer Payment</t>
  </si>
  <si>
    <t>Script Types</t>
  </si>
  <si>
    <t>Integration Methods</t>
  </si>
  <si>
    <t>SOAP API</t>
  </si>
  <si>
    <t>Mass Update</t>
  </si>
  <si>
    <t>RESTlet</t>
  </si>
  <si>
    <t>SFTP</t>
  </si>
  <si>
    <t>User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</si>
</sst>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2">
    <font>
      <sz val="12"/>
      <color theme="1"/>
      <name val="Aptos Narrow"/>
      <family val="2"/>
      <scheme val="minor"/>
    </font>
    <font>
      <sz val="12"/>
      <color theme="1"/>
      <name val="Aptos Narrow"/>
      <family val="2"/>
      <scheme val="minor"/>
    </font>
    <font>
      <sz val="8"/>
      <name val="Aptos Narrow"/>
      <family val="2"/>
      <scheme val="minor"/>
    </font>
    <font>
      <b/>
      <sz val="12"/>
      <color theme="1"/>
      <name val="Aptos Narrow"/>
      <scheme val="minor"/>
    </font>
    <font>
      <sz val="10"/>
      <color rgb="FF000000"/>
      <name val="Tahoma"/>
      <family val="2"/>
    </font>
    <font>
      <b/>
      <sz val="10"/>
      <color rgb="FF000000"/>
      <name val="Tahoma"/>
      <family val="2"/>
    </font>
    <font>
      <sz val="10"/>
      <color rgb="FF000000"/>
      <name val="Aptos Narrow"/>
      <scheme val="minor"/>
    </font>
    <font>
      <sz val="10"/>
      <color rgb="FF000000"/>
      <name val="Aptos Narrow"/>
    </font>
    <font>
      <b/>
      <sz val="12"/>
      <color theme="0"/>
      <name val="Aptos Narrow"/>
      <scheme val="minor"/>
    </font>
    <font>
      <b/>
      <sz val="12"/>
      <color theme="1"/>
      <name val="Arial"/>
      <family val="2"/>
    </font>
    <font>
      <sz val="12"/>
      <color theme="1"/>
      <name val="Arial"/>
      <family val="2"/>
    </font>
    <font>
      <b/>
      <u/>
      <sz val="12"/>
      <color theme="1"/>
      <name val="Arial"/>
      <family val="2"/>
    </font>
  </fonts>
  <fills count="7">
    <fill>
      <patternFill patternType="none"/>
    </fill>
    <fill>
      <patternFill patternType="gray125"/>
    </fill>
    <fill>
      <patternFill patternType="solid">
        <fgColor theme="2"/>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3" tint="0.89999084444715716"/>
        <bgColor indexed="64"/>
      </patternFill>
    </fill>
    <fill>
      <patternFill patternType="solid">
        <fgColor theme="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4">
    <xf numFmtId="0" fontId="0" fillId="0" borderId="0" xfId="0"/>
    <xf numFmtId="0" fontId="3" fillId="2" borderId="0" xfId="0" applyFont="1" applyFill="1"/>
    <xf numFmtId="0" fontId="3" fillId="2" borderId="1" xfId="0" applyFont="1" applyFill="1" applyBorder="1"/>
    <xf numFmtId="0" fontId="0" fillId="0" borderId="1" xfId="0" applyBorder="1"/>
    <xf numFmtId="0" fontId="3" fillId="2" borderId="1" xfId="0" applyFont="1" applyFill="1" applyBorder="1" applyAlignment="1">
      <alignment horizontal="center"/>
    </xf>
    <xf numFmtId="0" fontId="3" fillId="3" borderId="1" xfId="0" applyFont="1" applyFill="1" applyBorder="1"/>
    <xf numFmtId="0" fontId="3" fillId="4" borderId="1" xfId="0" applyFont="1" applyFill="1" applyBorder="1"/>
    <xf numFmtId="0" fontId="0" fillId="0" borderId="9" xfId="0" applyBorder="1"/>
    <xf numFmtId="0" fontId="0" fillId="0" borderId="1" xfId="0" applyBorder="1" applyAlignment="1">
      <alignment horizontal="right"/>
    </xf>
    <xf numFmtId="0" fontId="3" fillId="2" borderId="8" xfId="0" applyFont="1" applyFill="1" applyBorder="1"/>
    <xf numFmtId="0" fontId="3" fillId="5" borderId="8" xfId="0" applyFont="1" applyFill="1" applyBorder="1"/>
    <xf numFmtId="0" fontId="3" fillId="5" borderId="10" xfId="0" applyFont="1" applyFill="1" applyBorder="1"/>
    <xf numFmtId="0" fontId="3" fillId="5" borderId="1" xfId="0" applyFont="1" applyFill="1" applyBorder="1"/>
    <xf numFmtId="0" fontId="3" fillId="5" borderId="9" xfId="0" applyFont="1" applyFill="1" applyBorder="1"/>
    <xf numFmtId="44" fontId="3" fillId="5" borderId="11" xfId="1" applyFont="1" applyFill="1" applyBorder="1"/>
    <xf numFmtId="44" fontId="3" fillId="5" borderId="12" xfId="1" applyFont="1" applyFill="1" applyBorder="1"/>
    <xf numFmtId="0" fontId="3" fillId="2" borderId="13" xfId="0" applyFont="1" applyFill="1" applyBorder="1"/>
    <xf numFmtId="44" fontId="3" fillId="5" borderId="14" xfId="1" applyFont="1" applyFill="1" applyBorder="1"/>
    <xf numFmtId="9" fontId="3" fillId="5" borderId="14" xfId="2" applyFont="1" applyFill="1" applyBorder="1"/>
    <xf numFmtId="44" fontId="3" fillId="5" borderId="14" xfId="0" applyNumberFormat="1" applyFont="1" applyFill="1" applyBorder="1"/>
    <xf numFmtId="0" fontId="3" fillId="5" borderId="14" xfId="0" applyFont="1" applyFill="1" applyBorder="1"/>
    <xf numFmtId="0" fontId="8" fillId="6" borderId="5" xfId="0" applyFont="1" applyFill="1" applyBorder="1"/>
    <xf numFmtId="0" fontId="8" fillId="6" borderId="7" xfId="0" applyFont="1" applyFill="1" applyBorder="1"/>
    <xf numFmtId="0" fontId="3" fillId="5" borderId="8" xfId="0" applyFont="1" applyFill="1" applyBorder="1" applyAlignment="1">
      <alignment horizontal="left"/>
    </xf>
    <xf numFmtId="0" fontId="3" fillId="2" borderId="15" xfId="0" applyFont="1" applyFill="1" applyBorder="1" applyAlignment="1">
      <alignment horizontal="left"/>
    </xf>
    <xf numFmtId="0" fontId="9" fillId="2" borderId="2" xfId="0" applyFont="1" applyFill="1" applyBorder="1"/>
    <xf numFmtId="0" fontId="9" fillId="2" borderId="1" xfId="0" applyFont="1" applyFill="1" applyBorder="1"/>
    <xf numFmtId="0" fontId="10" fillId="0" borderId="0" xfId="0" applyFont="1"/>
    <xf numFmtId="0" fontId="10" fillId="0" borderId="1" xfId="0" applyFont="1" applyBorder="1" applyAlignment="1">
      <alignment wrapText="1"/>
    </xf>
    <xf numFmtId="0" fontId="10" fillId="0" borderId="2" xfId="0" applyFont="1" applyBorder="1"/>
    <xf numFmtId="0" fontId="10" fillId="0" borderId="1" xfId="0" applyFont="1" applyBorder="1"/>
    <xf numFmtId="0" fontId="3" fillId="2" borderId="1" xfId="0" applyFont="1" applyFill="1" applyBorder="1" applyAlignment="1">
      <alignment horizontal="center"/>
    </xf>
    <xf numFmtId="0" fontId="3" fillId="5" borderId="8" xfId="0" applyFont="1" applyFill="1" applyBorder="1" applyAlignment="1">
      <alignment horizontal="center" vertical="center"/>
    </xf>
    <xf numFmtId="0" fontId="8" fillId="6" borderId="5" xfId="0" applyFont="1" applyFill="1" applyBorder="1" applyAlignment="1">
      <alignment horizontal="center"/>
    </xf>
    <xf numFmtId="0" fontId="8" fillId="6" borderId="6" xfId="0" applyFont="1" applyFill="1" applyBorder="1" applyAlignment="1">
      <alignment horizontal="center"/>
    </xf>
    <xf numFmtId="0" fontId="8" fillId="6" borderId="7" xfId="0" applyFont="1" applyFill="1" applyBorder="1" applyAlignment="1">
      <alignment horizontal="center"/>
    </xf>
    <xf numFmtId="0" fontId="3" fillId="5" borderId="2" xfId="0" applyFont="1" applyFill="1" applyBorder="1" applyAlignment="1">
      <alignment horizontal="center"/>
    </xf>
    <xf numFmtId="0" fontId="3" fillId="5" borderId="3" xfId="0" applyFont="1" applyFill="1" applyBorder="1" applyAlignment="1">
      <alignment horizontal="center"/>
    </xf>
    <xf numFmtId="0" fontId="3" fillId="5" borderId="4" xfId="0" applyFont="1" applyFill="1" applyBorder="1" applyAlignment="1">
      <alignment horizontal="center"/>
    </xf>
    <xf numFmtId="0" fontId="3" fillId="2" borderId="15" xfId="0" applyFont="1" applyFill="1" applyBorder="1" applyAlignment="1">
      <alignment horizontal="center" vertical="center"/>
    </xf>
    <xf numFmtId="0" fontId="3" fillId="2" borderId="16" xfId="0" applyFont="1" applyFill="1" applyBorder="1" applyAlignment="1">
      <alignment horizontal="center" vertical="center"/>
    </xf>
    <xf numFmtId="0" fontId="3" fillId="2" borderId="2" xfId="0" applyFont="1" applyFill="1" applyBorder="1" applyAlignment="1">
      <alignment horizontal="left"/>
    </xf>
    <xf numFmtId="0" fontId="3" fillId="2" borderId="3" xfId="0" applyFont="1" applyFill="1" applyBorder="1" applyAlignment="1">
      <alignment horizontal="left"/>
    </xf>
    <xf numFmtId="0" fontId="3" fillId="2" borderId="4" xfId="0" applyFont="1" applyFill="1" applyBorder="1" applyAlignment="1">
      <alignment horizontal="left"/>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8" Type="http://schemas.openxmlformats.org/officeDocument/2006/relationships/hyperlink" Target="https://7925860.app.netsuite.com/app/help/helpcenter.nl?fid=book_N2723865.html" TargetMode="External"/><Relationship Id="rId3" Type="http://schemas.openxmlformats.org/officeDocument/2006/relationships/hyperlink" Target="https://7925860.app.netsuite.com/app/help/helpcenter.nl?fid=section_4387799288.html" TargetMode="External"/><Relationship Id="rId7" Type="http://schemas.openxmlformats.org/officeDocument/2006/relationships/hyperlink" Target="https://7925860.app.netsuite.com/app/help/helpcenter.nl?fid=section_4387799721.html" TargetMode="External"/><Relationship Id="rId2" Type="http://schemas.openxmlformats.org/officeDocument/2006/relationships/hyperlink" Target="https://7925860.app.netsuite.com/app/help/helpcenter.nl?fid=section_4460452911.html" TargetMode="External"/><Relationship Id="rId1" Type="http://schemas.openxmlformats.org/officeDocument/2006/relationships/hyperlink" Target="https://7925860.app.netsuite.com/app/help/helpcenter.nl?fid=section_4387799161.html" TargetMode="External"/><Relationship Id="rId6" Type="http://schemas.openxmlformats.org/officeDocument/2006/relationships/hyperlink" Target="https://7925860.app.netsuite.com/app/help/helpcenter.nl?fid=section_4387799600.html" TargetMode="External"/><Relationship Id="rId5" Type="http://schemas.openxmlformats.org/officeDocument/2006/relationships/hyperlink" Target="https://7925860.app.netsuite.com/app/help/helpcenter.nl?fid=section_4387799491.html" TargetMode="External"/><Relationship Id="rId4" Type="http://schemas.openxmlformats.org/officeDocument/2006/relationships/hyperlink" Target="https://7925860.app.netsuite.com/app/help/helpcenter.nl?fid=section_438779940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B0C1F-6D8F-AA40-9FD2-34FF58482936}">
  <dimension ref="A1:B10"/>
  <sheetViews>
    <sheetView zoomScale="220" zoomScaleNormal="220" workbookViewId="0">
      <selection activeCell="B9" sqref="B9"/>
    </sheetView>
  </sheetViews>
  <sheetFormatPr defaultColWidth="11" defaultRowHeight="15.95"/>
  <cols>
    <col min="1" max="1" width="10.875" customWidth="1"/>
    <col min="2" max="2" width="109.375" customWidth="1"/>
  </cols>
  <sheetData>
    <row r="1" spans="1:2">
      <c r="A1" s="25" t="s">
        <v>0</v>
      </c>
      <c r="B1" s="26" t="s">
        <v>1</v>
      </c>
    </row>
    <row r="2" spans="1:2" ht="47.1">
      <c r="A2" s="27">
        <v>1</v>
      </c>
      <c r="B2" s="28" t="s">
        <v>2</v>
      </c>
    </row>
    <row r="3" spans="1:2">
      <c r="A3" s="29">
        <f>A2+1</f>
        <v>2</v>
      </c>
      <c r="B3" s="30" t="s">
        <v>3</v>
      </c>
    </row>
    <row r="4" spans="1:2">
      <c r="A4" s="29">
        <f>A3+1</f>
        <v>3</v>
      </c>
      <c r="B4" s="30" t="s">
        <v>4</v>
      </c>
    </row>
    <row r="5" spans="1:2">
      <c r="A5" s="29">
        <f>A4+1</f>
        <v>4</v>
      </c>
      <c r="B5" s="30" t="s">
        <v>5</v>
      </c>
    </row>
    <row r="6" spans="1:2">
      <c r="A6" s="29">
        <f>A5+1</f>
        <v>5</v>
      </c>
      <c r="B6" s="30" t="s">
        <v>6</v>
      </c>
    </row>
    <row r="7" spans="1:2">
      <c r="A7" s="29">
        <f>A6+1</f>
        <v>6</v>
      </c>
      <c r="B7" s="30" t="s">
        <v>7</v>
      </c>
    </row>
    <row r="8" spans="1:2">
      <c r="A8" s="29">
        <f t="shared" ref="A8:A10" si="0">A7+1</f>
        <v>7</v>
      </c>
      <c r="B8" s="30" t="s">
        <v>8</v>
      </c>
    </row>
    <row r="9" spans="1:2">
      <c r="A9" s="30">
        <f t="shared" si="0"/>
        <v>8</v>
      </c>
      <c r="B9" s="30" t="s">
        <v>9</v>
      </c>
    </row>
    <row r="10" spans="1:2">
      <c r="A10" s="30">
        <f t="shared" si="0"/>
        <v>9</v>
      </c>
      <c r="B10" s="30"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3274D-C3F3-8B45-BA8A-90B2A8BBAA7C}">
  <dimension ref="B1:F32"/>
  <sheetViews>
    <sheetView tabSelected="1" zoomScale="140" zoomScaleNormal="140" workbookViewId="0">
      <selection activeCell="M9" sqref="M9"/>
    </sheetView>
  </sheetViews>
  <sheetFormatPr defaultColWidth="4.5" defaultRowHeight="15.95"/>
  <cols>
    <col min="2" max="2" width="53.5" bestFit="1" customWidth="1"/>
    <col min="3" max="6" width="11.5" bestFit="1" customWidth="1"/>
  </cols>
  <sheetData>
    <row r="1" spans="2:6" ht="16.5" thickBot="1"/>
    <row r="2" spans="2:6">
      <c r="B2" s="33" t="s">
        <v>11</v>
      </c>
      <c r="C2" s="34"/>
      <c r="D2" s="34"/>
      <c r="E2" s="34"/>
      <c r="F2" s="35"/>
    </row>
    <row r="3" spans="2:6">
      <c r="B3" s="32" t="s">
        <v>12</v>
      </c>
      <c r="C3" s="36" t="s">
        <v>13</v>
      </c>
      <c r="D3" s="37"/>
      <c r="E3" s="38"/>
      <c r="F3" s="39" t="s">
        <v>14</v>
      </c>
    </row>
    <row r="4" spans="2:6">
      <c r="B4" s="32"/>
      <c r="C4" s="2" t="s">
        <v>15</v>
      </c>
      <c r="D4" s="2" t="s">
        <v>16</v>
      </c>
      <c r="E4" s="2" t="s">
        <v>17</v>
      </c>
      <c r="F4" s="40"/>
    </row>
    <row r="5" spans="2:6">
      <c r="B5" s="9" t="s">
        <v>18</v>
      </c>
      <c r="C5" s="3">
        <f>Functional!C11</f>
        <v>12</v>
      </c>
      <c r="D5" s="3">
        <f>'Technical NetSuite'!D6</f>
        <v>12</v>
      </c>
      <c r="E5" s="3">
        <f>Integration!I6</f>
        <v>12</v>
      </c>
      <c r="F5" s="7">
        <f t="shared" ref="F5:F13" si="0">SUM(C5:E5)</f>
        <v>36</v>
      </c>
    </row>
    <row r="6" spans="2:6">
      <c r="B6" s="9" t="s">
        <v>19</v>
      </c>
      <c r="C6" s="3">
        <f>Functional!D11</f>
        <v>27</v>
      </c>
      <c r="D6" s="8" t="s">
        <v>20</v>
      </c>
      <c r="E6" s="8" t="s">
        <v>20</v>
      </c>
      <c r="F6" s="7">
        <f t="shared" si="0"/>
        <v>27</v>
      </c>
    </row>
    <row r="7" spans="2:6">
      <c r="B7" s="9" t="s">
        <v>21</v>
      </c>
      <c r="C7" s="8" t="s">
        <v>20</v>
      </c>
      <c r="D7" s="3">
        <f>'Technical NetSuite'!E6</f>
        <v>38</v>
      </c>
      <c r="E7" s="3">
        <f>Integration!J6</f>
        <v>38</v>
      </c>
      <c r="F7" s="7">
        <f t="shared" si="0"/>
        <v>76</v>
      </c>
    </row>
    <row r="8" spans="2:6">
      <c r="B8" s="9" t="s">
        <v>22</v>
      </c>
      <c r="C8" s="3">
        <f>Functional!E11</f>
        <v>6</v>
      </c>
      <c r="D8" s="3">
        <f>'Technical NetSuite'!F6</f>
        <v>16</v>
      </c>
      <c r="E8" s="3">
        <f>Integration!K6</f>
        <v>16</v>
      </c>
      <c r="F8" s="7">
        <f t="shared" si="0"/>
        <v>38</v>
      </c>
    </row>
    <row r="9" spans="2:6">
      <c r="B9" s="9" t="s">
        <v>23</v>
      </c>
      <c r="C9" s="3">
        <f>Functional!F11</f>
        <v>4</v>
      </c>
      <c r="D9" s="3">
        <f>'Technical NetSuite'!G6</f>
        <v>0</v>
      </c>
      <c r="E9" s="3">
        <f>Integration!L6</f>
        <v>0</v>
      </c>
      <c r="F9" s="7">
        <f t="shared" si="0"/>
        <v>4</v>
      </c>
    </row>
    <row r="10" spans="2:6">
      <c r="B10" s="9" t="s">
        <v>24</v>
      </c>
      <c r="C10" s="3">
        <f>Functional!G11</f>
        <v>8</v>
      </c>
      <c r="D10" s="3">
        <f>'Technical NetSuite'!H6</f>
        <v>8</v>
      </c>
      <c r="E10" s="3">
        <f>Integration!M6</f>
        <v>8</v>
      </c>
      <c r="F10" s="7">
        <f t="shared" si="0"/>
        <v>24</v>
      </c>
    </row>
    <row r="11" spans="2:6">
      <c r="B11" s="9" t="s">
        <v>25</v>
      </c>
      <c r="C11" s="3">
        <f>Functional!H11</f>
        <v>6</v>
      </c>
      <c r="D11" s="3">
        <f>'Technical NetSuite'!I6</f>
        <v>11</v>
      </c>
      <c r="E11" s="3">
        <f>Integration!N6</f>
        <v>11</v>
      </c>
      <c r="F11" s="7">
        <f t="shared" si="0"/>
        <v>28</v>
      </c>
    </row>
    <row r="12" spans="2:6">
      <c r="B12" s="9" t="str">
        <f>"Project Oversight "&amp;(B17*100)&amp;"%"</f>
        <v>Project Oversight 15%</v>
      </c>
      <c r="C12" s="3">
        <f>SUM(C5:C11)*$B$17</f>
        <v>9.4499999999999993</v>
      </c>
      <c r="D12" s="3">
        <f>SUM(D5:D11)*$B$17</f>
        <v>12.75</v>
      </c>
      <c r="E12" s="3">
        <f>SUM(E5:E11)*$B$17</f>
        <v>12.75</v>
      </c>
      <c r="F12" s="7">
        <f t="shared" si="0"/>
        <v>34.950000000000003</v>
      </c>
    </row>
    <row r="13" spans="2:6">
      <c r="B13" s="10" t="s">
        <v>26</v>
      </c>
      <c r="C13" s="12">
        <f>ROUND(SUM(C5:C12),0)</f>
        <v>72</v>
      </c>
      <c r="D13" s="12">
        <f>ROUND(SUM(D5:D12),0)</f>
        <v>98</v>
      </c>
      <c r="E13" s="12">
        <f>ROUND(SUM(E5:E12),0)</f>
        <v>98</v>
      </c>
      <c r="F13" s="13">
        <f t="shared" si="0"/>
        <v>268</v>
      </c>
    </row>
    <row r="14" spans="2:6" ht="16.5" thickBot="1">
      <c r="B14" s="11" t="str">
        <f>IF(B23&gt;0,B32,B29)</f>
        <v>Estimated Fees (Standard Rate: $300 | Discounted Rate: $255)</v>
      </c>
      <c r="C14" s="14">
        <f>C13*$B20</f>
        <v>21600</v>
      </c>
      <c r="D14" s="14">
        <f>D13*$B20</f>
        <v>29400</v>
      </c>
      <c r="E14" s="14">
        <f>E13*$B20</f>
        <v>29400</v>
      </c>
      <c r="F14" s="15">
        <f>F13*B26</f>
        <v>68340</v>
      </c>
    </row>
    <row r="15" spans="2:6" ht="16.5" thickBot="1"/>
    <row r="16" spans="2:6">
      <c r="B16" s="16" t="s">
        <v>27</v>
      </c>
    </row>
    <row r="17" spans="2:2" ht="16.5" thickBot="1">
      <c r="B17" s="18">
        <v>0.15</v>
      </c>
    </row>
    <row r="18" spans="2:2" ht="16.5" thickBot="1"/>
    <row r="19" spans="2:2">
      <c r="B19" s="16" t="s">
        <v>28</v>
      </c>
    </row>
    <row r="20" spans="2:2" ht="16.5" thickBot="1">
      <c r="B20" s="17">
        <v>300</v>
      </c>
    </row>
    <row r="21" spans="2:2" ht="16.5" thickBot="1"/>
    <row r="22" spans="2:2">
      <c r="B22" s="16" t="s">
        <v>29</v>
      </c>
    </row>
    <row r="23" spans="2:2" ht="16.5" thickBot="1">
      <c r="B23" s="18">
        <v>0.15</v>
      </c>
    </row>
    <row r="24" spans="2:2" ht="16.5" thickBot="1"/>
    <row r="25" spans="2:2">
      <c r="B25" s="16" t="s">
        <v>30</v>
      </c>
    </row>
    <row r="26" spans="2:2" ht="16.5" thickBot="1">
      <c r="B26" s="19">
        <f>B20*(1-B23)</f>
        <v>255</v>
      </c>
    </row>
    <row r="27" spans="2:2" ht="16.5" thickBot="1"/>
    <row r="28" spans="2:2">
      <c r="B28" s="16" t="s">
        <v>31</v>
      </c>
    </row>
    <row r="29" spans="2:2" ht="16.5" thickBot="1">
      <c r="B29" s="20" t="str">
        <f>"Estimated Fees (Standard Rate: $"&amp;B20&amp;")"</f>
        <v>Estimated Fees (Standard Rate: $300)</v>
      </c>
    </row>
    <row r="30" spans="2:2" ht="16.5" thickBot="1"/>
    <row r="31" spans="2:2">
      <c r="B31" s="16" t="s">
        <v>32</v>
      </c>
    </row>
    <row r="32" spans="2:2" ht="16.5" thickBot="1">
      <c r="B32" s="20" t="str">
        <f>"Estimated Fees (Standard Rate: $"&amp;B20&amp;" | Discounted Rate: $"&amp;B26&amp;")"</f>
        <v>Estimated Fees (Standard Rate: $300 | Discounted Rate: $255)</v>
      </c>
    </row>
  </sheetData>
  <mergeCells count="4">
    <mergeCell ref="B3:B4"/>
    <mergeCell ref="B2:F2"/>
    <mergeCell ref="C3:E3"/>
    <mergeCell ref="F3:F4"/>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95A21-17FB-F24B-9BF8-A918DFFF325F}">
  <dimension ref="B1:C13"/>
  <sheetViews>
    <sheetView zoomScale="160" zoomScaleNormal="160" workbookViewId="0">
      <selection activeCell="B19" sqref="B19"/>
    </sheetView>
  </sheetViews>
  <sheetFormatPr defaultColWidth="11" defaultRowHeight="15.95"/>
  <cols>
    <col min="2" max="2" width="53.5" bestFit="1" customWidth="1"/>
    <col min="3" max="4" width="11.625" bestFit="1" customWidth="1"/>
  </cols>
  <sheetData>
    <row r="1" spans="2:3" ht="16.5" thickBot="1"/>
    <row r="2" spans="2:3">
      <c r="B2" s="21" t="s">
        <v>11</v>
      </c>
      <c r="C2" s="22"/>
    </row>
    <row r="3" spans="2:3">
      <c r="B3" s="23" t="s">
        <v>12</v>
      </c>
      <c r="C3" s="24" t="s">
        <v>14</v>
      </c>
    </row>
    <row r="4" spans="2:3">
      <c r="B4" s="9" t="s">
        <v>18</v>
      </c>
      <c r="C4" s="7">
        <f>'Detailed Summary'!F5</f>
        <v>36</v>
      </c>
    </row>
    <row r="5" spans="2:3">
      <c r="B5" s="9" t="s">
        <v>19</v>
      </c>
      <c r="C5" s="7">
        <f>'Detailed Summary'!F6</f>
        <v>27</v>
      </c>
    </row>
    <row r="6" spans="2:3">
      <c r="B6" s="9" t="s">
        <v>21</v>
      </c>
      <c r="C6" s="7">
        <f>'Detailed Summary'!F7</f>
        <v>76</v>
      </c>
    </row>
    <row r="7" spans="2:3">
      <c r="B7" s="9" t="s">
        <v>22</v>
      </c>
      <c r="C7" s="7">
        <f>'Detailed Summary'!F8</f>
        <v>38</v>
      </c>
    </row>
    <row r="8" spans="2:3">
      <c r="B8" s="9" t="s">
        <v>23</v>
      </c>
      <c r="C8" s="7">
        <f>'Detailed Summary'!F9</f>
        <v>4</v>
      </c>
    </row>
    <row r="9" spans="2:3">
      <c r="B9" s="9" t="s">
        <v>24</v>
      </c>
      <c r="C9" s="7">
        <f>'Detailed Summary'!F10</f>
        <v>24</v>
      </c>
    </row>
    <row r="10" spans="2:3">
      <c r="B10" s="9" t="s">
        <v>25</v>
      </c>
      <c r="C10" s="7">
        <f>'Detailed Summary'!F11</f>
        <v>28</v>
      </c>
    </row>
    <row r="11" spans="2:3">
      <c r="B11" s="9" t="str">
        <f>"Project Oversight "&amp;('Detailed Summary'!B17*100)&amp;"%"</f>
        <v>Project Oversight 15%</v>
      </c>
      <c r="C11" s="7">
        <f>'Detailed Summary'!F12</f>
        <v>34.950000000000003</v>
      </c>
    </row>
    <row r="12" spans="2:3">
      <c r="B12" s="10" t="s">
        <v>26</v>
      </c>
      <c r="C12" s="13">
        <f>'Detailed Summary'!F13</f>
        <v>268</v>
      </c>
    </row>
    <row r="13" spans="2:3" ht="16.5" thickBot="1">
      <c r="B13" s="11" t="str">
        <f>'Detailed Summary'!B14</f>
        <v>Estimated Fees (Standard Rate: $300 | Discounted Rate: $255)</v>
      </c>
      <c r="C13" s="15">
        <f>'Detailed Summary'!F14</f>
        <v>68340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46980-29C7-824C-8B66-FC67369B77FB}">
  <dimension ref="A1:I11"/>
  <sheetViews>
    <sheetView zoomScale="130" zoomScaleNormal="130" workbookViewId="0">
      <selection activeCell="H6" sqref="H6"/>
    </sheetView>
  </sheetViews>
  <sheetFormatPr defaultColWidth="11" defaultRowHeight="15.95"/>
  <cols>
    <col min="2" max="2" width="24.875" bestFit="1" customWidth="1"/>
    <col min="4" max="4" width="12.5" bestFit="1" customWidth="1"/>
    <col min="5" max="5" width="11.875" bestFit="1" customWidth="1"/>
    <col min="6" max="6" width="11.875" customWidth="1"/>
  </cols>
  <sheetData>
    <row r="1" spans="1:9">
      <c r="A1" s="2" t="s">
        <v>33</v>
      </c>
      <c r="B1" s="2" t="s">
        <v>34</v>
      </c>
      <c r="C1" s="2" t="s">
        <v>18</v>
      </c>
      <c r="D1" s="2" t="s">
        <v>19</v>
      </c>
      <c r="E1" s="2" t="s">
        <v>22</v>
      </c>
      <c r="F1" s="2" t="s">
        <v>23</v>
      </c>
      <c r="G1" s="2" t="s">
        <v>24</v>
      </c>
      <c r="H1" s="2" t="s">
        <v>25</v>
      </c>
      <c r="I1" s="2" t="s">
        <v>14</v>
      </c>
    </row>
    <row r="2" spans="1:9">
      <c r="A2" s="3" t="s">
        <v>35</v>
      </c>
      <c r="B2" s="3" t="s">
        <v>36</v>
      </c>
      <c r="C2" s="3">
        <v>0</v>
      </c>
      <c r="D2" s="3">
        <v>1</v>
      </c>
      <c r="E2" s="3">
        <v>0</v>
      </c>
      <c r="F2" s="3">
        <v>0</v>
      </c>
      <c r="G2" s="3">
        <v>0</v>
      </c>
      <c r="H2" s="3">
        <v>0</v>
      </c>
      <c r="I2" s="3">
        <f>SUM(C2:H2)</f>
        <v>1</v>
      </c>
    </row>
    <row r="3" spans="1:9">
      <c r="A3" s="3" t="s">
        <v>37</v>
      </c>
      <c r="B3" s="3" t="s">
        <v>38</v>
      </c>
      <c r="C3" s="3">
        <v>2</v>
      </c>
      <c r="D3" s="3">
        <v>2</v>
      </c>
      <c r="E3" s="3">
        <v>0</v>
      </c>
      <c r="F3" s="3">
        <v>0</v>
      </c>
      <c r="G3" s="3">
        <v>1</v>
      </c>
      <c r="H3" s="3">
        <v>0</v>
      </c>
      <c r="I3" s="3">
        <f t="shared" ref="I3:I10" si="0">SUM(C3:H3)</f>
        <v>5</v>
      </c>
    </row>
    <row r="4" spans="1:9">
      <c r="A4" s="3" t="s">
        <v>39</v>
      </c>
      <c r="B4" s="3" t="s">
        <v>40</v>
      </c>
      <c r="C4" s="3">
        <v>4</v>
      </c>
      <c r="D4" s="3">
        <v>10</v>
      </c>
      <c r="E4" s="3">
        <v>0</v>
      </c>
      <c r="F4" s="3">
        <v>0</v>
      </c>
      <c r="G4" s="3">
        <v>4</v>
      </c>
      <c r="H4" s="3">
        <v>0</v>
      </c>
      <c r="I4" s="3">
        <f t="shared" si="0"/>
        <v>18</v>
      </c>
    </row>
    <row r="5" spans="1:9">
      <c r="A5" s="3" t="s">
        <v>41</v>
      </c>
      <c r="B5" s="3" t="s">
        <v>42</v>
      </c>
      <c r="C5" s="3">
        <v>4</v>
      </c>
      <c r="D5" s="3">
        <v>10</v>
      </c>
      <c r="E5" s="3">
        <v>2</v>
      </c>
      <c r="F5" s="3">
        <v>4</v>
      </c>
      <c r="G5" s="3">
        <v>2</v>
      </c>
      <c r="H5" s="3">
        <v>4</v>
      </c>
      <c r="I5" s="3">
        <f t="shared" si="0"/>
        <v>26</v>
      </c>
    </row>
    <row r="6" spans="1:9">
      <c r="A6" s="3" t="s">
        <v>43</v>
      </c>
      <c r="B6" s="3"/>
      <c r="C6" s="3"/>
      <c r="D6" s="3"/>
      <c r="E6" s="3"/>
      <c r="F6" s="3"/>
      <c r="G6" s="3"/>
      <c r="H6" s="3"/>
      <c r="I6" s="3">
        <f t="shared" si="0"/>
        <v>0</v>
      </c>
    </row>
    <row r="7" spans="1:9">
      <c r="A7" s="3" t="s">
        <v>44</v>
      </c>
      <c r="B7" s="3"/>
      <c r="C7" s="3"/>
      <c r="D7" s="3"/>
      <c r="E7" s="3"/>
      <c r="F7" s="3"/>
      <c r="G7" s="3"/>
      <c r="H7" s="3"/>
      <c r="I7" s="3">
        <f t="shared" si="0"/>
        <v>0</v>
      </c>
    </row>
    <row r="8" spans="1:9">
      <c r="A8" s="3" t="s">
        <v>45</v>
      </c>
      <c r="B8" s="3"/>
      <c r="C8" s="3"/>
      <c r="D8" s="3"/>
      <c r="E8" s="3"/>
      <c r="F8" s="3"/>
      <c r="G8" s="3"/>
      <c r="H8" s="3"/>
      <c r="I8" s="3">
        <f t="shared" si="0"/>
        <v>0</v>
      </c>
    </row>
    <row r="9" spans="1:9">
      <c r="A9" s="3" t="s">
        <v>46</v>
      </c>
      <c r="B9" s="3"/>
      <c r="C9" s="3"/>
      <c r="D9" s="3"/>
      <c r="E9" s="3"/>
      <c r="F9" s="3"/>
      <c r="G9" s="3"/>
      <c r="H9" s="3"/>
      <c r="I9" s="3">
        <f t="shared" si="0"/>
        <v>0</v>
      </c>
    </row>
    <row r="10" spans="1:9">
      <c r="A10" s="3" t="s">
        <v>47</v>
      </c>
      <c r="B10" s="3"/>
      <c r="C10" s="3">
        <v>2</v>
      </c>
      <c r="D10" s="3">
        <v>4</v>
      </c>
      <c r="E10" s="3">
        <v>4</v>
      </c>
      <c r="F10" s="3">
        <v>0</v>
      </c>
      <c r="G10" s="3">
        <v>1</v>
      </c>
      <c r="H10" s="3">
        <v>2</v>
      </c>
      <c r="I10" s="3">
        <f t="shared" si="0"/>
        <v>13</v>
      </c>
    </row>
    <row r="11" spans="1:9">
      <c r="A11" s="31" t="s">
        <v>14</v>
      </c>
      <c r="B11" s="31"/>
      <c r="C11" s="5">
        <f>SUM(C2:C10)</f>
        <v>12</v>
      </c>
      <c r="D11" s="5">
        <f t="shared" ref="D11:I11" si="1">SUM(D2:D10)</f>
        <v>27</v>
      </c>
      <c r="E11" s="5">
        <f t="shared" si="1"/>
        <v>6</v>
      </c>
      <c r="F11" s="5">
        <f t="shared" si="1"/>
        <v>4</v>
      </c>
      <c r="G11" s="5">
        <f t="shared" si="1"/>
        <v>8</v>
      </c>
      <c r="H11" s="5">
        <f t="shared" si="1"/>
        <v>6</v>
      </c>
      <c r="I11" s="6">
        <f t="shared" si="1"/>
        <v>63</v>
      </c>
    </row>
  </sheetData>
  <mergeCells count="1">
    <mergeCell ref="A11:B11"/>
  </mergeCells>
  <phoneticPr fontId="2"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4ADAB-F5DF-5747-9043-258D61A2EBD6}">
  <dimension ref="A1:J6"/>
  <sheetViews>
    <sheetView zoomScale="130" zoomScaleNormal="130" workbookViewId="0">
      <selection activeCell="C2" sqref="C2"/>
    </sheetView>
  </sheetViews>
  <sheetFormatPr defaultColWidth="11" defaultRowHeight="15.95"/>
  <cols>
    <col min="2" max="2" width="12.125" bestFit="1" customWidth="1"/>
    <col min="3" max="3" width="14.125" bestFit="1" customWidth="1"/>
    <col min="5" max="5" width="12.125" bestFit="1" customWidth="1"/>
    <col min="6" max="6" width="11.5" bestFit="1" customWidth="1"/>
    <col min="7" max="7" width="11.5" customWidth="1"/>
  </cols>
  <sheetData>
    <row r="1" spans="1:10">
      <c r="A1" s="2" t="s">
        <v>33</v>
      </c>
      <c r="B1" s="2" t="s">
        <v>34</v>
      </c>
      <c r="C1" s="2" t="s">
        <v>48</v>
      </c>
      <c r="D1" s="2" t="s">
        <v>18</v>
      </c>
      <c r="E1" s="2" t="s">
        <v>21</v>
      </c>
      <c r="F1" s="2" t="s">
        <v>22</v>
      </c>
      <c r="G1" s="2" t="s">
        <v>23</v>
      </c>
      <c r="H1" s="2" t="s">
        <v>24</v>
      </c>
      <c r="I1" s="2" t="s">
        <v>25</v>
      </c>
      <c r="J1" s="2" t="s">
        <v>14</v>
      </c>
    </row>
    <row r="2" spans="1:10">
      <c r="A2" s="3" t="s">
        <v>35</v>
      </c>
      <c r="B2" s="3" t="s">
        <v>49</v>
      </c>
      <c r="C2" s="3" t="s">
        <v>50</v>
      </c>
      <c r="D2" s="3">
        <v>4</v>
      </c>
      <c r="E2" s="3">
        <v>12</v>
      </c>
      <c r="F2" s="3">
        <v>4</v>
      </c>
      <c r="G2" s="3">
        <v>0</v>
      </c>
      <c r="H2" s="3">
        <v>2</v>
      </c>
      <c r="I2" s="3">
        <v>4</v>
      </c>
      <c r="J2" s="3">
        <f>SUM(D2:I2)</f>
        <v>26</v>
      </c>
    </row>
    <row r="3" spans="1:10">
      <c r="A3" s="3" t="s">
        <v>37</v>
      </c>
      <c r="B3" s="3" t="s">
        <v>51</v>
      </c>
      <c r="C3" s="3" t="s">
        <v>52</v>
      </c>
      <c r="D3" s="3">
        <v>2</v>
      </c>
      <c r="E3" s="3">
        <v>6</v>
      </c>
      <c r="F3" s="3">
        <v>4</v>
      </c>
      <c r="G3" s="3">
        <v>0</v>
      </c>
      <c r="H3" s="3">
        <v>2</v>
      </c>
      <c r="I3" s="3">
        <v>1</v>
      </c>
      <c r="J3" s="3">
        <f t="shared" ref="J3:J5" si="0">SUM(D3:I3)</f>
        <v>15</v>
      </c>
    </row>
    <row r="4" spans="1:10">
      <c r="A4" s="3" t="s">
        <v>39</v>
      </c>
      <c r="B4" s="3" t="s">
        <v>53</v>
      </c>
      <c r="C4" s="3" t="s">
        <v>54</v>
      </c>
      <c r="D4" s="3">
        <v>2</v>
      </c>
      <c r="E4" s="3">
        <v>8</v>
      </c>
      <c r="F4" s="3">
        <v>4</v>
      </c>
      <c r="G4" s="3">
        <v>0</v>
      </c>
      <c r="H4" s="3">
        <v>2</v>
      </c>
      <c r="I4" s="3">
        <v>2</v>
      </c>
      <c r="J4" s="3">
        <f t="shared" si="0"/>
        <v>18</v>
      </c>
    </row>
    <row r="5" spans="1:10">
      <c r="A5" s="3" t="s">
        <v>41</v>
      </c>
      <c r="B5" s="3" t="s">
        <v>55</v>
      </c>
      <c r="C5" s="3" t="s">
        <v>56</v>
      </c>
      <c r="D5" s="3">
        <v>4</v>
      </c>
      <c r="E5" s="3">
        <v>12</v>
      </c>
      <c r="F5" s="3">
        <v>4</v>
      </c>
      <c r="G5" s="3">
        <v>0</v>
      </c>
      <c r="H5" s="3">
        <v>2</v>
      </c>
      <c r="I5" s="3">
        <v>4</v>
      </c>
      <c r="J5" s="3">
        <f t="shared" si="0"/>
        <v>26</v>
      </c>
    </row>
    <row r="6" spans="1:10">
      <c r="A6" s="31" t="s">
        <v>14</v>
      </c>
      <c r="B6" s="31"/>
      <c r="C6" s="4"/>
      <c r="D6" s="5">
        <f>SUM(D2:D5)</f>
        <v>12</v>
      </c>
      <c r="E6" s="5">
        <f t="shared" ref="E6:J6" si="1">SUM(E2:E5)</f>
        <v>38</v>
      </c>
      <c r="F6" s="5">
        <f t="shared" si="1"/>
        <v>16</v>
      </c>
      <c r="G6" s="5">
        <f t="shared" si="1"/>
        <v>0</v>
      </c>
      <c r="H6" s="5">
        <f t="shared" si="1"/>
        <v>8</v>
      </c>
      <c r="I6" s="5">
        <f t="shared" si="1"/>
        <v>11</v>
      </c>
      <c r="J6" s="6">
        <f t="shared" si="1"/>
        <v>85</v>
      </c>
    </row>
  </sheetData>
  <mergeCells count="1">
    <mergeCell ref="A6:B6"/>
  </mergeCell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5E5E79C-A6E0-ED42-A289-58DF252BAD9D}">
          <x14:formula1>
            <xm:f>'List Options'!$A$2:$A$9</xm:f>
          </x14:formula1>
          <xm:sqref>C2:C5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C68EE-2854-9449-B63B-5C9439CD34FD}">
  <dimension ref="A1:O6"/>
  <sheetViews>
    <sheetView topLeftCell="B1" zoomScale="120" zoomScaleNormal="120" workbookViewId="0">
      <selection activeCell="C2" sqref="C2"/>
    </sheetView>
  </sheetViews>
  <sheetFormatPr defaultColWidth="11" defaultRowHeight="15.95"/>
  <cols>
    <col min="2" max="2" width="12.125" bestFit="1" customWidth="1"/>
    <col min="3" max="3" width="16.625" bestFit="1" customWidth="1"/>
    <col min="4" max="4" width="16.625" customWidth="1"/>
    <col min="5" max="5" width="13.375" bestFit="1" customWidth="1"/>
    <col min="6" max="6" width="16.625" bestFit="1" customWidth="1"/>
    <col min="7" max="7" width="13" customWidth="1"/>
    <col min="8" max="8" width="16.625" bestFit="1" customWidth="1"/>
    <col min="10" max="10" width="12.125" bestFit="1" customWidth="1"/>
    <col min="11" max="11" width="11.625" bestFit="1" customWidth="1"/>
    <col min="12" max="12" width="11.625" customWidth="1"/>
  </cols>
  <sheetData>
    <row r="1" spans="1:15">
      <c r="A1" s="2" t="s">
        <v>33</v>
      </c>
      <c r="B1" s="2" t="s">
        <v>57</v>
      </c>
      <c r="C1" s="2" t="s">
        <v>58</v>
      </c>
      <c r="D1" s="2" t="s">
        <v>59</v>
      </c>
      <c r="E1" s="2" t="s">
        <v>60</v>
      </c>
      <c r="F1" s="2" t="s">
        <v>61</v>
      </c>
      <c r="G1" s="2" t="s">
        <v>62</v>
      </c>
      <c r="H1" s="2" t="s">
        <v>63</v>
      </c>
      <c r="I1" s="2" t="s">
        <v>18</v>
      </c>
      <c r="J1" s="2" t="s">
        <v>21</v>
      </c>
      <c r="K1" s="2" t="s">
        <v>22</v>
      </c>
      <c r="L1" s="2" t="s">
        <v>23</v>
      </c>
      <c r="M1" s="2" t="s">
        <v>24</v>
      </c>
      <c r="N1" s="2" t="s">
        <v>25</v>
      </c>
      <c r="O1" s="2" t="s">
        <v>14</v>
      </c>
    </row>
    <row r="2" spans="1:15">
      <c r="A2" s="3" t="s">
        <v>35</v>
      </c>
      <c r="B2" s="3" t="s">
        <v>49</v>
      </c>
      <c r="C2" s="3" t="s">
        <v>64</v>
      </c>
      <c r="D2" s="3" t="s">
        <v>65</v>
      </c>
      <c r="E2" s="3" t="s">
        <v>66</v>
      </c>
      <c r="F2" s="3" t="s">
        <v>67</v>
      </c>
      <c r="G2" s="3" t="s">
        <v>68</v>
      </c>
      <c r="H2" s="3" t="s">
        <v>69</v>
      </c>
      <c r="I2" s="3">
        <v>4</v>
      </c>
      <c r="J2" s="3">
        <v>12</v>
      </c>
      <c r="K2" s="3">
        <v>4</v>
      </c>
      <c r="L2" s="3">
        <v>0</v>
      </c>
      <c r="M2" s="3">
        <v>2</v>
      </c>
      <c r="N2" s="3">
        <v>4</v>
      </c>
      <c r="O2" s="3">
        <f>SUM(I2:N2)</f>
        <v>26</v>
      </c>
    </row>
    <row r="3" spans="1:15">
      <c r="A3" s="3" t="s">
        <v>37</v>
      </c>
      <c r="B3" s="3" t="s">
        <v>51</v>
      </c>
      <c r="C3" s="3" t="s">
        <v>70</v>
      </c>
      <c r="D3" s="3" t="s">
        <v>71</v>
      </c>
      <c r="E3" s="3" t="s">
        <v>66</v>
      </c>
      <c r="F3" s="3" t="s">
        <v>72</v>
      </c>
      <c r="G3" s="3" t="s">
        <v>68</v>
      </c>
      <c r="H3" s="3" t="s">
        <v>73</v>
      </c>
      <c r="I3" s="3">
        <v>2</v>
      </c>
      <c r="J3" s="3">
        <v>6</v>
      </c>
      <c r="K3" s="3">
        <v>4</v>
      </c>
      <c r="L3" s="3">
        <v>0</v>
      </c>
      <c r="M3" s="3">
        <v>2</v>
      </c>
      <c r="N3" s="3">
        <v>1</v>
      </c>
      <c r="O3" s="3">
        <f>SUM(I3:N3)</f>
        <v>15</v>
      </c>
    </row>
    <row r="4" spans="1:15">
      <c r="A4" s="3" t="s">
        <v>39</v>
      </c>
      <c r="B4" s="3" t="s">
        <v>53</v>
      </c>
      <c r="C4" s="3" t="s">
        <v>74</v>
      </c>
      <c r="D4" s="3" t="s">
        <v>71</v>
      </c>
      <c r="E4" s="3" t="s">
        <v>66</v>
      </c>
      <c r="F4" s="3" t="s">
        <v>75</v>
      </c>
      <c r="G4" s="3" t="s">
        <v>68</v>
      </c>
      <c r="H4" s="3" t="s">
        <v>76</v>
      </c>
      <c r="I4" s="3">
        <v>2</v>
      </c>
      <c r="J4" s="3">
        <v>8</v>
      </c>
      <c r="K4" s="3">
        <v>4</v>
      </c>
      <c r="L4" s="3">
        <v>0</v>
      </c>
      <c r="M4" s="3">
        <v>2</v>
      </c>
      <c r="N4" s="3">
        <v>2</v>
      </c>
      <c r="O4" s="3">
        <f>SUM(I4:N4)</f>
        <v>18</v>
      </c>
    </row>
    <row r="5" spans="1:15">
      <c r="A5" s="3" t="s">
        <v>41</v>
      </c>
      <c r="B5" s="3" t="s">
        <v>55</v>
      </c>
      <c r="C5" s="3" t="s">
        <v>77</v>
      </c>
      <c r="D5" s="3" t="s">
        <v>65</v>
      </c>
      <c r="E5" s="3" t="s">
        <v>66</v>
      </c>
      <c r="F5" s="3" t="s">
        <v>78</v>
      </c>
      <c r="G5" s="3" t="s">
        <v>68</v>
      </c>
      <c r="H5" s="3" t="s">
        <v>79</v>
      </c>
      <c r="I5" s="3">
        <v>4</v>
      </c>
      <c r="J5" s="3">
        <v>12</v>
      </c>
      <c r="K5" s="3">
        <v>4</v>
      </c>
      <c r="L5" s="3">
        <v>0</v>
      </c>
      <c r="M5" s="3">
        <v>2</v>
      </c>
      <c r="N5" s="3">
        <v>4</v>
      </c>
      <c r="O5" s="3">
        <f>SUM(I5:N5)</f>
        <v>26</v>
      </c>
    </row>
    <row r="6" spans="1:15">
      <c r="A6" s="41" t="s">
        <v>14</v>
      </c>
      <c r="B6" s="42"/>
      <c r="C6" s="42"/>
      <c r="D6" s="42"/>
      <c r="E6" s="42"/>
      <c r="F6" s="42"/>
      <c r="G6" s="42"/>
      <c r="H6" s="43"/>
      <c r="I6" s="5">
        <f>SUM(I2:I5)</f>
        <v>12</v>
      </c>
      <c r="J6" s="5">
        <f t="shared" ref="J6:O6" si="0">SUM(J2:J5)</f>
        <v>38</v>
      </c>
      <c r="K6" s="5">
        <f t="shared" si="0"/>
        <v>16</v>
      </c>
      <c r="L6" s="5">
        <f t="shared" si="0"/>
        <v>0</v>
      </c>
      <c r="M6" s="5">
        <f t="shared" si="0"/>
        <v>8</v>
      </c>
      <c r="N6" s="5">
        <f t="shared" si="0"/>
        <v>11</v>
      </c>
      <c r="O6" s="6">
        <f t="shared" si="0"/>
        <v>85</v>
      </c>
    </row>
  </sheetData>
  <mergeCells count="1">
    <mergeCell ref="A6:H6"/>
  </mergeCell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D345758-6504-B54D-8D6C-F5D5A307FFF6}">
          <x14:formula1>
            <xm:f>'List Options'!$B$2:$B$7</xm:f>
          </x14:formula1>
          <xm:sqref>C2:C5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03B99-82F9-044C-8E97-C0D7F90E9B75}">
  <dimension ref="A1:B9"/>
  <sheetViews>
    <sheetView zoomScale="140" zoomScaleNormal="140" workbookViewId="0">
      <selection activeCell="E8" sqref="E8"/>
    </sheetView>
  </sheetViews>
  <sheetFormatPr defaultColWidth="11" defaultRowHeight="15.95"/>
  <cols>
    <col min="1" max="1" width="14.125" bestFit="1" customWidth="1"/>
    <col min="2" max="2" width="17.5" bestFit="1" customWidth="1"/>
  </cols>
  <sheetData>
    <row r="1" spans="1:2">
      <c r="A1" s="1" t="s">
        <v>80</v>
      </c>
      <c r="B1" s="1" t="s">
        <v>81</v>
      </c>
    </row>
    <row r="2" spans="1:2">
      <c r="A2" t="s">
        <v>50</v>
      </c>
      <c r="B2" t="s">
        <v>82</v>
      </c>
    </row>
    <row r="3" spans="1:2">
      <c r="A3" t="s">
        <v>83</v>
      </c>
      <c r="B3" t="s">
        <v>70</v>
      </c>
    </row>
    <row r="4" spans="1:2">
      <c r="A4" t="s">
        <v>54</v>
      </c>
      <c r="B4" t="s">
        <v>74</v>
      </c>
    </row>
    <row r="5" spans="1:2">
      <c r="A5" t="s">
        <v>84</v>
      </c>
      <c r="B5" t="s">
        <v>64</v>
      </c>
    </row>
    <row r="6" spans="1:2">
      <c r="A6" t="s">
        <v>65</v>
      </c>
      <c r="B6" t="s">
        <v>77</v>
      </c>
    </row>
    <row r="7" spans="1:2">
      <c r="A7" t="s">
        <v>56</v>
      </c>
      <c r="B7" t="s">
        <v>85</v>
      </c>
    </row>
    <row r="8" spans="1:2">
      <c r="A8" t="s">
        <v>86</v>
      </c>
    </row>
    <row r="9" spans="1:2">
      <c r="A9" t="s">
        <v>52</v>
      </c>
    </row>
  </sheetData>
  <hyperlinks>
    <hyperlink ref="C2" r:id="rId1" display="https://7925860.app.netsuite.com/app/help/helpcenter.nl?fid=section_4387799161.html" xr:uid="{C97B688E-ECE1-8A4F-900E-3A66D5851488}"/>
    <hyperlink ref="C3" r:id="rId2" display="https://7925860.app.netsuite.com/app/help/helpcenter.nl?fid=section_4460452911.html" xr:uid="{D805388A-927D-5348-A9B5-62A72F272638}"/>
    <hyperlink ref="C4" r:id="rId3" display="https://7925860.app.netsuite.com/app/help/helpcenter.nl?fid=section_4387799288.html" xr:uid="{FF617B94-A915-1E47-8304-7C24137848B7}"/>
    <hyperlink ref="C5" r:id="rId4" display="https://7925860.app.netsuite.com/app/help/helpcenter.nl?fid=section_4387799403.html" xr:uid="{B6673E70-F7C5-FB43-89FA-B4BD119A7323}"/>
    <hyperlink ref="C6" r:id="rId5" display="https://7925860.app.netsuite.com/app/help/helpcenter.nl?fid=section_4387799491.html" xr:uid="{79BD8E14-15E1-704C-A4B5-4CFEB4A53899}"/>
    <hyperlink ref="C7" r:id="rId6" display="https://7925860.app.netsuite.com/app/help/helpcenter.nl?fid=section_4387799600.html" xr:uid="{2BD58FBB-740E-A147-B44A-CA79DCA9A9ED}"/>
    <hyperlink ref="C8" r:id="rId7" display="https://7925860.app.netsuite.com/app/help/helpcenter.nl?fid=section_4387799721.html" xr:uid="{8A10570E-171D-3445-B99E-A7FD8132A418}"/>
    <hyperlink ref="C9" r:id="rId8" display="https://7925860.app.netsuite.com/app/help/helpcenter.nl?fid=book_N2723865.html" xr:uid="{0AC88CF2-8AC5-8F49-8D85-413DB43D5E2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7FDE5E7B33ABB45AB5D3C1373A85613" ma:contentTypeVersion="18" ma:contentTypeDescription="Create a new document." ma:contentTypeScope="" ma:versionID="d3c10a77363f05d133714c42ddb027e6">
  <xsd:schema xmlns:xsd="http://www.w3.org/2001/XMLSchema" xmlns:xs="http://www.w3.org/2001/XMLSchema" xmlns:p="http://schemas.microsoft.com/office/2006/metadata/properties" xmlns:ns2="d377da40-d121-446c-afe8-6e75793f0450" xmlns:ns3="1f6d6014-df9d-426d-aa8d-8dd4dc9f7c2f" targetNamespace="http://schemas.microsoft.com/office/2006/metadata/properties" ma:root="true" ma:fieldsID="d0fc2650f662782ca780715a9d649c52" ns2:_="" ns3:_="">
    <xsd:import namespace="d377da40-d121-446c-afe8-6e75793f0450"/>
    <xsd:import namespace="1f6d6014-df9d-426d-aa8d-8dd4dc9f7c2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77da40-d121-446c-afe8-6e75793f04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781a5c6-1b9c-4914-956c-0c762e7280fb"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6d6014-df9d-426d-aa8d-8dd4dc9f7c2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edc7c035-603a-4272-a3d1-acb099336577}" ma:internalName="TaxCatchAll" ma:showField="CatchAllData" ma:web="1f6d6014-df9d-426d-aa8d-8dd4dc9f7c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f6d6014-df9d-426d-aa8d-8dd4dc9f7c2f" xsi:nil="true"/>
    <lcf76f155ced4ddcb4097134ff3c332f xmlns="d377da40-d121-446c-afe8-6e75793f045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2404291-FBA1-4177-9CF2-B9C51ABCF0F9}"/>
</file>

<file path=customXml/itemProps2.xml><?xml version="1.0" encoding="utf-8"?>
<ds:datastoreItem xmlns:ds="http://schemas.openxmlformats.org/officeDocument/2006/customXml" ds:itemID="{FA852B2D-574C-4D0D-8058-309022594EA0}"/>
</file>

<file path=customXml/itemProps3.xml><?xml version="1.0" encoding="utf-8"?>
<ds:datastoreItem xmlns:ds="http://schemas.openxmlformats.org/officeDocument/2006/customXml" ds:itemID="{C3FCD355-00F0-49FE-9A48-8BFD446FB82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CJ Carter</dc:creator>
  <cp:keywords/>
  <dc:description/>
  <cp:lastModifiedBy>CJ Carter</cp:lastModifiedBy>
  <cp:revision/>
  <dcterms:created xsi:type="dcterms:W3CDTF">2024-04-03T15:55:14Z</dcterms:created>
  <dcterms:modified xsi:type="dcterms:W3CDTF">2026-08-31T17:10:23Z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0x010100A7FDE5E7B33ABB45AB5D3C1373A85613</vt:lpwstr>
  </property>
  <property fmtid="{D5CDD505-2E9C-101B-9397-08002B2CF9AE}" pid="3" name="MediaServiceImageTags">
    <vt:lpwstr/>
  </property>
</Properties>
</file>